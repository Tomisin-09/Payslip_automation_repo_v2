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slip" sheetId="1" r:id="rId4"/>
    <sheet state="visible" name="Data Source" sheetId="2" r:id="rId5"/>
  </sheets>
  <externalReferences>
    <externalReference r:id="rId6"/>
  </externalReferences>
  <definedNames>
    <definedName name="EmployeeRef">Payslip!$B$10</definedName>
  </definedNames>
  <calcPr/>
  <extLst>
    <ext uri="GoogleSheetsCustomDataVersion2">
      <go:sheetsCustomData xmlns:go="http://customooxmlschemas.google.com/" r:id="rId7" roundtripDataChecksum="vVkGE3L4CXO0mdqk2ZPIAxpe8TtBnY6sW7EMwgRxCXQ="/>
    </ext>
  </extLst>
</workbook>
</file>

<file path=xl/sharedStrings.xml><?xml version="1.0" encoding="utf-8"?>
<sst xmlns="http://schemas.openxmlformats.org/spreadsheetml/2006/main" count="67" uniqueCount="54">
  <si>
    <t>=================================================================</t>
  </si>
  <si>
    <t>NTS AFRICA SERVICES LIMITED</t>
  </si>
  <si>
    <t>EMPLOYEE PAY SLIP</t>
  </si>
  <si>
    <t>EMPLOYEE REFERENCE NO</t>
  </si>
  <si>
    <t>NAME</t>
  </si>
  <si>
    <t xml:space="preserve">DESIGNATION </t>
  </si>
  <si>
    <t>DEPARTMENT</t>
  </si>
  <si>
    <t xml:space="preserve">MONTH </t>
  </si>
  <si>
    <t>EARNINGS:</t>
  </si>
  <si>
    <t>BASIC</t>
  </si>
  <si>
    <t>HOUSING</t>
  </si>
  <si>
    <t>TRANSPORT</t>
  </si>
  <si>
    <t>OTHERS</t>
  </si>
  <si>
    <t>GROSS INCOME</t>
  </si>
  <si>
    <t>OVERTIME</t>
  </si>
  <si>
    <t>REIMBURSABLE EXPENSES</t>
  </si>
  <si>
    <t>DEDUCTIONS:</t>
  </si>
  <si>
    <t>PAYE</t>
  </si>
  <si>
    <t>STATUTORY PENSION</t>
  </si>
  <si>
    <t xml:space="preserve">TOTAL DEDUCTION </t>
  </si>
  <si>
    <t>NET PAY</t>
  </si>
  <si>
    <t>Approved By:</t>
  </si>
  <si>
    <t>Reference Number</t>
  </si>
  <si>
    <t>Employee Name</t>
  </si>
  <si>
    <t>Designation</t>
  </si>
  <si>
    <t>Department</t>
  </si>
  <si>
    <t>Date</t>
  </si>
  <si>
    <t>Basic Pay</t>
  </si>
  <si>
    <t xml:space="preserve">Housing </t>
  </si>
  <si>
    <t>Transport</t>
  </si>
  <si>
    <t>Others</t>
  </si>
  <si>
    <t>Overtime</t>
  </si>
  <si>
    <t>Gross Income</t>
  </si>
  <si>
    <t>Reimbursement</t>
  </si>
  <si>
    <t>PAYE Per Month</t>
  </si>
  <si>
    <t>Pension</t>
  </si>
  <si>
    <t>Loan Deduction</t>
  </si>
  <si>
    <t>Total Deductions</t>
  </si>
  <si>
    <t>Net Pay</t>
  </si>
  <si>
    <t>Email</t>
  </si>
  <si>
    <t>Nya Abel Dominic</t>
  </si>
  <si>
    <t>Site Support Engineer</t>
  </si>
  <si>
    <t>Technical</t>
  </si>
  <si>
    <t>dominic.abel@ntsafrica.com</t>
  </si>
  <si>
    <t>Adebiyi Ademola</t>
  </si>
  <si>
    <t>Technical Analyst</t>
  </si>
  <si>
    <t>ademola.adebiyi@ntsafrica.com</t>
  </si>
  <si>
    <t>Adekola Adeleke</t>
  </si>
  <si>
    <t>Technical Manager</t>
  </si>
  <si>
    <t>adekola.adeleke@ntsafrica.com</t>
  </si>
  <si>
    <t>Adegbile Daniel</t>
  </si>
  <si>
    <t>daniel.adegbile@ntsafrica.com</t>
  </si>
  <si>
    <t>Adegboye Adesakin</t>
  </si>
  <si>
    <t>adesakin.adegboye@ntsafrica.com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</si>
</sst>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₦&quot;#,##0.00"/>
  </numFmts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3.0"/>
      <color theme="1"/>
      <name val="Aptos Narrow"/>
    </font>
    <font>
      <sz val="11.0"/>
      <color theme="1"/>
      <name val="Aptos Narrow"/>
    </font>
    <font>
      <b/>
      <u/>
      <sz val="12.0"/>
      <color theme="1"/>
      <name val="Aptos Narrow"/>
    </font>
    <font>
      <sz val="14.0"/>
      <color theme="1"/>
      <name val="Aptos Narrow"/>
    </font>
    <font>
      <b/>
      <sz val="12.0"/>
      <color theme="1"/>
      <name val="Aptos Narrow"/>
    </font>
    <font>
      <sz val="8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7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7" xfId="0" applyAlignment="1" applyFont="1" applyNumberFormat="1">
      <alignment horizontal="left"/>
    </xf>
    <xf borderId="0" fillId="0" fontId="4" numFmtId="0" xfId="0" applyFont="1"/>
    <xf borderId="0" fillId="0" fontId="5" numFmtId="0" xfId="0" applyFont="1"/>
    <xf borderId="0" fillId="0" fontId="3" numFmtId="164" xfId="0" applyAlignment="1" applyFont="1" applyNumberFormat="1">
      <alignment horizontal="left"/>
    </xf>
    <xf borderId="0" fillId="0" fontId="6" numFmtId="0" xfId="0" applyFont="1"/>
    <xf borderId="0" fillId="0" fontId="6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0</xdr:rowOff>
    </xdr:from>
    <xdr:ext cx="12763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39</xdr:row>
      <xdr:rowOff>38100</xdr:rowOff>
    </xdr:from>
    <xdr:ext cx="828675" cy="361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ayslipPDF%20-%20July%202025/July2025Payslip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YSLIP"/>
      <sheetName val="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1.13"/>
    <col customWidth="1" min="3" max="3" width="11.13"/>
    <col customWidth="1" min="4" max="26" width="8.63"/>
  </cols>
  <sheetData>
    <row r="4">
      <c r="A4" s="1" t="s">
        <v>0</v>
      </c>
    </row>
    <row r="5">
      <c r="A5" s="2" t="s">
        <v>1</v>
      </c>
    </row>
    <row r="6">
      <c r="A6" s="2" t="s">
        <v>2</v>
      </c>
    </row>
    <row r="7">
      <c r="A7" s="3">
        <f>B14</f>
        <v>45839</v>
      </c>
    </row>
    <row r="8">
      <c r="A8" s="1" t="s">
        <v>0</v>
      </c>
    </row>
    <row r="10">
      <c r="A10" s="1" t="s">
        <v>3</v>
      </c>
      <c r="B10" s="4">
        <v>1005.0</v>
      </c>
      <c r="F10" s="1"/>
    </row>
    <row r="11">
      <c r="A11" s="1" t="s">
        <v>4</v>
      </c>
      <c r="B11" s="1" t="str">
        <f>VLOOKUP($B$10,'Data Source'!$A$2:$R$6,2,FALSE)</f>
        <v>Adegboye Adesakin</v>
      </c>
    </row>
    <row r="12">
      <c r="A12" s="1" t="s">
        <v>5</v>
      </c>
      <c r="B12" s="1" t="str">
        <f>VLOOKUP($B$10,'Data Source'!$A$2:$R$6,3,FALSE)</f>
        <v>Site Support Engineer</v>
      </c>
    </row>
    <row r="13">
      <c r="A13" s="1" t="s">
        <v>6</v>
      </c>
      <c r="B13" s="1" t="str">
        <f>VLOOKUP($B$10,'Data Source'!$A$2:$R$6,4,FALSE)</f>
        <v>Technical</v>
      </c>
    </row>
    <row r="14">
      <c r="A14" s="1" t="s">
        <v>7</v>
      </c>
      <c r="B14" s="5">
        <f>VLOOKUP($B$10,'Data Source'!$A$2:$R$6,5,FALSE)</f>
        <v>45839</v>
      </c>
    </row>
    <row r="16">
      <c r="A16" s="1" t="s">
        <v>0</v>
      </c>
    </row>
    <row r="17">
      <c r="A17" s="6" t="s">
        <v>8</v>
      </c>
    </row>
    <row r="18">
      <c r="A18" s="7"/>
    </row>
    <row r="19">
      <c r="A19" s="1" t="s">
        <v>9</v>
      </c>
      <c r="B19" s="8">
        <f>VLOOKUP($B$10,'Data Source'!$A$2:$R$6,6,FALSE)</f>
        <v>101012.5073</v>
      </c>
    </row>
    <row r="20">
      <c r="A20" s="1" t="s">
        <v>10</v>
      </c>
      <c r="B20" s="8">
        <f>VLOOKUP($B$10,'Data Source'!$A$2:$R$6,7,FALSE)</f>
        <v>33670.83578</v>
      </c>
    </row>
    <row r="21" ht="15.75" customHeight="1">
      <c r="A21" s="1" t="s">
        <v>11</v>
      </c>
      <c r="B21" s="8">
        <f>VLOOKUP($B$10,'Data Source'!$A$2:$R$6,8,FALSE)</f>
        <v>33670.83578</v>
      </c>
    </row>
    <row r="22" ht="15.75" customHeight="1">
      <c r="A22" s="1" t="s">
        <v>12</v>
      </c>
      <c r="B22" s="8">
        <f>VLOOKUP($B$10,'Data Source'!$A$2:$R$6,9,FALSE)</f>
        <v>505062.5367</v>
      </c>
    </row>
    <row r="23" ht="15.75" customHeight="1">
      <c r="A23" s="9" t="s">
        <v>13</v>
      </c>
      <c r="B23" s="10">
        <f>SUM(B19:B22)</f>
        <v>673416.7156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" t="s">
        <v>14</v>
      </c>
      <c r="B24" s="8">
        <f>VLOOKUP($B$10,'Data Source'!$A$2:$R$6,10,FALSE)</f>
        <v>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" t="s">
        <v>15</v>
      </c>
      <c r="B25" s="8">
        <f>VLOOKUP($B$10,'Data Source'!$A$2:$R$6,12,FALSE)</f>
        <v>207000</v>
      </c>
    </row>
    <row r="26" ht="15.75" customHeight="1">
      <c r="B26" s="8"/>
    </row>
    <row r="27" ht="15.75" customHeight="1">
      <c r="A27" s="1" t="s">
        <v>0</v>
      </c>
      <c r="B27" s="8"/>
    </row>
    <row r="28" ht="15.75" customHeight="1">
      <c r="A28" s="6" t="s">
        <v>16</v>
      </c>
      <c r="B28" s="8"/>
    </row>
    <row r="29" ht="15.75" customHeight="1">
      <c r="B29" s="8"/>
    </row>
    <row r="30" ht="15.75" customHeight="1">
      <c r="A30" s="1" t="s">
        <v>17</v>
      </c>
      <c r="B30" s="8">
        <f>VLOOKUP($B$10,'Data Source'!$A$2:$R$6,13,FALSE)</f>
        <v>105376.7559</v>
      </c>
    </row>
    <row r="31" ht="15.75" customHeight="1">
      <c r="A31" s="1" t="s">
        <v>18</v>
      </c>
      <c r="B31" s="8">
        <f>VLOOKUP($B$10,'Data Source'!$A$2:$R$6,14,FALSE)</f>
        <v>13468.33431</v>
      </c>
    </row>
    <row r="32" ht="15.75" customHeight="1">
      <c r="A32" s="1" t="s">
        <v>12</v>
      </c>
      <c r="B32" s="8" t="str">
        <f>VLOOKUP($B$10,'Data Source'!$A$2:$R$6,15,FALSE)</f>
        <v/>
      </c>
    </row>
    <row r="33" ht="15.75" customHeight="1">
      <c r="A33" s="1" t="s">
        <v>0</v>
      </c>
      <c r="B33" s="8"/>
    </row>
    <row r="34" ht="15.75" customHeight="1">
      <c r="A34" s="9" t="s">
        <v>19</v>
      </c>
      <c r="B34" s="10">
        <f>SUM(B30:B33)</f>
        <v>118845.0902</v>
      </c>
      <c r="C34" s="9"/>
      <c r="D34" s="9"/>
    </row>
    <row r="35" ht="15.75" customHeight="1">
      <c r="A35" s="1" t="s">
        <v>0</v>
      </c>
      <c r="B35" s="8"/>
    </row>
    <row r="36" ht="15.75" customHeight="1">
      <c r="A36" s="9" t="s">
        <v>20</v>
      </c>
      <c r="B36" s="10">
        <f>B23+B25-B34</f>
        <v>761571.6254</v>
      </c>
      <c r="C36" s="9"/>
      <c r="D36" s="9"/>
    </row>
    <row r="37" ht="15.75" customHeight="1">
      <c r="A37" s="1" t="s">
        <v>0</v>
      </c>
    </row>
    <row r="38" ht="15.75" customHeight="1">
      <c r="C38" s="11" t="str">
        <f>VLOOKUP($B$10,[1]DATA!$A$2:$R$23,18,FALSE)</f>
        <v>#ERROR!</v>
      </c>
    </row>
    <row r="39" ht="15.75" customHeight="1">
      <c r="A39" s="1" t="s">
        <v>21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D5"/>
    <mergeCell ref="A6:D6"/>
    <mergeCell ref="A7:D7"/>
  </mergeCells>
  <dataValidations>
    <dataValidation type="list" allowBlank="1" showErrorMessage="1" sqref="B10 F10">
      <formula1>'Data Source'!$A$2:$A$6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26.63"/>
    <col customWidth="1" min="3" max="4" width="32.75"/>
    <col customWidth="1" min="5" max="5" width="5.75"/>
    <col customWidth="1" min="6" max="17" width="8.63"/>
    <col customWidth="1" min="18" max="18" width="30.75"/>
    <col customWidth="1" min="19" max="26" width="8.63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2" t="s">
        <v>39</v>
      </c>
    </row>
    <row r="2">
      <c r="A2" s="1">
        <v>1001.0</v>
      </c>
      <c r="B2" s="1" t="s">
        <v>40</v>
      </c>
      <c r="C2" s="1" t="s">
        <v>41</v>
      </c>
      <c r="D2" s="1" t="s">
        <v>42</v>
      </c>
      <c r="E2" s="5">
        <v>45839.0</v>
      </c>
      <c r="F2" s="1">
        <v>77594.97069096299</v>
      </c>
      <c r="G2" s="1">
        <v>25864.990230321</v>
      </c>
      <c r="H2" s="1">
        <v>25864.990230321</v>
      </c>
      <c r="I2" s="1">
        <v>387974.853454815</v>
      </c>
      <c r="J2" s="1">
        <v>0.0</v>
      </c>
      <c r="K2" s="1">
        <v>517299.80460642</v>
      </c>
      <c r="L2" s="1">
        <v>22000.0</v>
      </c>
      <c r="M2" s="1">
        <v>78484.83696352149</v>
      </c>
      <c r="N2" s="1">
        <v>10345.9960921284</v>
      </c>
      <c r="P2" s="1">
        <v>88830.83305564988</v>
      </c>
      <c r="Q2" s="1">
        <v>450468.9715507701</v>
      </c>
      <c r="R2" s="1" t="s">
        <v>43</v>
      </c>
    </row>
    <row r="3">
      <c r="A3" s="1">
        <v>1002.0</v>
      </c>
      <c r="B3" s="1" t="s">
        <v>44</v>
      </c>
      <c r="C3" s="1" t="s">
        <v>45</v>
      </c>
      <c r="D3" s="1" t="s">
        <v>42</v>
      </c>
      <c r="E3" s="5">
        <v>45839.0</v>
      </c>
      <c r="F3" s="1">
        <v>103321.10289416398</v>
      </c>
      <c r="G3" s="1">
        <v>34440.367631388</v>
      </c>
      <c r="H3" s="1">
        <v>34440.367631388</v>
      </c>
      <c r="I3" s="1">
        <v>516605.51447082</v>
      </c>
      <c r="J3" s="1">
        <v>0.0</v>
      </c>
      <c r="K3" s="1">
        <v>688807.35262776</v>
      </c>
      <c r="L3" s="1">
        <v>0.0</v>
      </c>
      <c r="M3" s="1">
        <v>108272.65813710599</v>
      </c>
      <c r="N3" s="1">
        <v>13776.147052555198</v>
      </c>
      <c r="P3" s="1">
        <v>122048.80518966119</v>
      </c>
      <c r="Q3" s="1">
        <v>566758.5474380988</v>
      </c>
      <c r="R3" s="1" t="s">
        <v>46</v>
      </c>
    </row>
    <row r="4">
      <c r="A4" s="1">
        <v>1003.0</v>
      </c>
      <c r="B4" s="1" t="s">
        <v>47</v>
      </c>
      <c r="C4" s="1" t="s">
        <v>48</v>
      </c>
      <c r="D4" s="1" t="s">
        <v>42</v>
      </c>
      <c r="E4" s="5">
        <v>45839.0</v>
      </c>
      <c r="F4" s="1">
        <v>212769.40137354002</v>
      </c>
      <c r="G4" s="1">
        <v>70923.13379118001</v>
      </c>
      <c r="H4" s="1">
        <v>70923.13379118001</v>
      </c>
      <c r="I4" s="1">
        <v>1063847.0068677</v>
      </c>
      <c r="J4" s="1">
        <v>0.0</v>
      </c>
      <c r="K4" s="1">
        <v>1418462.6758236</v>
      </c>
      <c r="L4" s="1">
        <v>81627.4715</v>
      </c>
      <c r="M4" s="1">
        <v>245564.60374963525</v>
      </c>
      <c r="N4" s="1">
        <v>28369.253516472003</v>
      </c>
      <c r="P4" s="1">
        <v>273933.8572661072</v>
      </c>
      <c r="Q4" s="1">
        <v>1226156.290057493</v>
      </c>
      <c r="R4" s="1" t="s">
        <v>49</v>
      </c>
    </row>
    <row r="5">
      <c r="A5" s="1">
        <v>1004.0</v>
      </c>
      <c r="B5" s="1" t="s">
        <v>50</v>
      </c>
      <c r="C5" s="1" t="s">
        <v>41</v>
      </c>
      <c r="D5" s="1" t="s">
        <v>42</v>
      </c>
      <c r="E5" s="5">
        <v>45839.0</v>
      </c>
      <c r="F5" s="1">
        <v>101012.50733903999</v>
      </c>
      <c r="G5" s="1">
        <v>33670.83577968</v>
      </c>
      <c r="H5" s="1">
        <v>33670.83577968</v>
      </c>
      <c r="I5" s="1">
        <v>505062.53669519996</v>
      </c>
      <c r="J5" s="1">
        <v>0.0</v>
      </c>
      <c r="K5" s="1">
        <v>673416.7155936</v>
      </c>
      <c r="L5" s="1">
        <v>0.0</v>
      </c>
      <c r="M5" s="1">
        <v>105376.75587275841</v>
      </c>
      <c r="N5" s="1">
        <v>13468.334311872</v>
      </c>
      <c r="P5" s="1">
        <v>118845.09018463042</v>
      </c>
      <c r="Q5" s="1">
        <v>554571.6254089696</v>
      </c>
      <c r="R5" s="1" t="s">
        <v>51</v>
      </c>
    </row>
    <row r="6">
      <c r="A6" s="1">
        <v>1005.0</v>
      </c>
      <c r="B6" s="1" t="s">
        <v>52</v>
      </c>
      <c r="C6" s="1" t="s">
        <v>41</v>
      </c>
      <c r="D6" s="1" t="s">
        <v>42</v>
      </c>
      <c r="E6" s="5">
        <v>45839.0</v>
      </c>
      <c r="F6" s="1">
        <v>101012.50733903999</v>
      </c>
      <c r="G6" s="1">
        <v>33670.83577968</v>
      </c>
      <c r="H6" s="1">
        <v>33670.83577968</v>
      </c>
      <c r="I6" s="1">
        <v>505062.53669519996</v>
      </c>
      <c r="J6" s="1">
        <v>0.0</v>
      </c>
      <c r="K6" s="1">
        <v>673416.7155936</v>
      </c>
      <c r="L6" s="1">
        <v>207000.0</v>
      </c>
      <c r="M6" s="1">
        <v>105376.75587275841</v>
      </c>
      <c r="N6" s="1">
        <v>13468.334311872</v>
      </c>
      <c r="P6" s="1">
        <v>118845.09018463042</v>
      </c>
      <c r="Q6" s="1">
        <v>761571.6254089696</v>
      </c>
      <c r="R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2025-09-01T14:36:01Z</dcterms:created>
  <dc:creator>Adenike Alabi</dc:creator>
</cp:coreProperties>
</file>